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G:\web_dev\development\trail_part13\"/>
    </mc:Choice>
  </mc:AlternateContent>
  <xr:revisionPtr revIDLastSave="0" documentId="13_ncr:1_{1DCC313C-E209-4A14-9F68-62E839DAA07B}" xr6:coauthVersionLast="47" xr6:coauthVersionMax="47" xr10:uidLastSave="{00000000-0000-0000-0000-000000000000}"/>
  <bookViews>
    <workbookView xWindow="-110" yWindow="-110" windowWidth="38620" windowHeight="21100" firstSheet="1" activeTab="1" xr2:uid="{00000000-000D-0000-FFFF-FFFF00000000}"/>
  </bookViews>
  <sheets>
    <sheet name="Sheet1" sheetId="1" r:id="rId1"/>
    <sheet name="Final_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2" i="1"/>
  <c r="H10" i="2"/>
  <c r="H15" i="2" s="1"/>
  <c r="G10" i="2"/>
  <c r="G13" i="2" s="1"/>
  <c r="F10" i="2"/>
  <c r="F15" i="2" s="1"/>
  <c r="D10" i="2"/>
  <c r="D15" i="2" s="1"/>
  <c r="I5" i="2"/>
  <c r="G8" i="1"/>
  <c r="F8" i="1"/>
  <c r="F7" i="1"/>
  <c r="E8" i="1"/>
  <c r="E7" i="1"/>
  <c r="E6" i="1"/>
  <c r="D8" i="1"/>
  <c r="D7" i="1"/>
  <c r="D6" i="1"/>
  <c r="D5" i="1"/>
  <c r="I5" i="1" s="1"/>
  <c r="C8" i="1"/>
  <c r="C7" i="1"/>
  <c r="C6" i="1"/>
  <c r="C5" i="1"/>
  <c r="C4" i="1"/>
  <c r="B8" i="1"/>
  <c r="B7" i="1"/>
  <c r="B6" i="1"/>
  <c r="B5" i="1"/>
  <c r="B4" i="1"/>
  <c r="B3" i="1"/>
  <c r="I3" i="1" s="1"/>
  <c r="B10" i="2" l="1"/>
  <c r="B17" i="2" s="1"/>
  <c r="I6" i="2"/>
  <c r="I4" i="2"/>
  <c r="I4" i="1"/>
  <c r="I9" i="1" s="1"/>
  <c r="J2" i="1" s="1"/>
  <c r="I6" i="1"/>
  <c r="I7" i="1"/>
  <c r="I8" i="1"/>
  <c r="I8" i="2"/>
  <c r="E10" i="2"/>
  <c r="I9" i="2"/>
  <c r="F13" i="2"/>
  <c r="F17" i="2"/>
  <c r="I7" i="2"/>
  <c r="F16" i="2"/>
  <c r="F18" i="2"/>
  <c r="F14" i="2"/>
  <c r="C10" i="2"/>
  <c r="C17" i="2" s="1"/>
  <c r="F19" i="2"/>
  <c r="G19" i="2"/>
  <c r="G18" i="2"/>
  <c r="G17" i="2"/>
  <c r="G16" i="2"/>
  <c r="G15" i="2"/>
  <c r="G14" i="2"/>
  <c r="D19" i="2"/>
  <c r="H18" i="2"/>
  <c r="D18" i="2"/>
  <c r="H16" i="2"/>
  <c r="D16" i="2"/>
  <c r="H14" i="2"/>
  <c r="D14" i="2"/>
  <c r="H13" i="2"/>
  <c r="D13" i="2"/>
  <c r="H19" i="2"/>
  <c r="H17" i="2"/>
  <c r="D17" i="2"/>
  <c r="B14" i="2" l="1"/>
  <c r="B19" i="2"/>
  <c r="B15" i="2"/>
  <c r="B18" i="2"/>
  <c r="B16" i="2"/>
  <c r="B13" i="2"/>
  <c r="I10" i="2"/>
  <c r="E15" i="2"/>
  <c r="E16" i="2"/>
  <c r="E13" i="2"/>
  <c r="E18" i="2"/>
  <c r="E17" i="2"/>
  <c r="I17" i="2" s="1"/>
  <c r="E14" i="2"/>
  <c r="E19" i="2"/>
  <c r="C16" i="2"/>
  <c r="C18" i="2"/>
  <c r="C15" i="2"/>
  <c r="C19" i="2"/>
  <c r="C14" i="2"/>
  <c r="C13" i="2"/>
  <c r="J9" i="2" l="1"/>
  <c r="K9" i="2" s="1"/>
  <c r="J4" i="2"/>
  <c r="K4" i="2" s="1"/>
  <c r="J5" i="2"/>
  <c r="K5" i="2" s="1"/>
  <c r="J6" i="2"/>
  <c r="K6" i="2" s="1"/>
  <c r="J7" i="2"/>
  <c r="K7" i="2" s="1"/>
  <c r="J8" i="2"/>
  <c r="K8" i="2" s="1"/>
  <c r="J3" i="2"/>
  <c r="K3" i="2" s="1"/>
  <c r="I15" i="2"/>
  <c r="I19" i="2"/>
  <c r="I13" i="2"/>
  <c r="I18" i="2"/>
  <c r="I14" i="2"/>
  <c r="I16" i="2"/>
  <c r="J13" i="2" l="1" a="1"/>
  <c r="J13" i="2" s="1"/>
  <c r="K13" i="2" s="1"/>
  <c r="J15" i="2" l="1"/>
  <c r="K15" i="2" s="1"/>
  <c r="J16" i="2"/>
  <c r="K16" i="2" s="1"/>
  <c r="J14" i="2"/>
  <c r="K14" i="2" s="1"/>
  <c r="J18" i="2"/>
  <c r="K18" i="2" s="1"/>
  <c r="J17" i="2"/>
  <c r="K17" i="2" s="1"/>
  <c r="J19" i="2"/>
  <c r="K19" i="2" s="1"/>
  <c r="L13" i="2" l="1"/>
  <c r="M13" i="2" s="1"/>
  <c r="N13" i="2" s="1"/>
  <c r="H9" i="1"/>
  <c r="H16" i="1" s="1"/>
  <c r="G9" i="1"/>
  <c r="G17" i="1" s="1"/>
  <c r="F9" i="1"/>
  <c r="F14" i="1" s="1"/>
  <c r="E9" i="1"/>
  <c r="E15" i="1" s="1"/>
  <c r="D9" i="1"/>
  <c r="D16" i="1" s="1"/>
  <c r="C9" i="1"/>
  <c r="C16" i="1" s="1"/>
  <c r="B9" i="1"/>
  <c r="B19" i="1" s="1"/>
  <c r="G20" i="1" l="1"/>
  <c r="G16" i="1"/>
  <c r="F17" i="1"/>
  <c r="F13" i="1"/>
  <c r="B15" i="1"/>
  <c r="E18" i="1"/>
  <c r="E14" i="1"/>
  <c r="C19" i="1"/>
  <c r="C15" i="1"/>
  <c r="B18" i="1"/>
  <c r="B14" i="1"/>
  <c r="C18" i="1"/>
  <c r="C14" i="1"/>
  <c r="G13" i="1"/>
  <c r="F20" i="1"/>
  <c r="G19" i="1"/>
  <c r="H18" i="1"/>
  <c r="D18" i="1"/>
  <c r="E17" i="1"/>
  <c r="F16" i="1"/>
  <c r="G15" i="1"/>
  <c r="H14" i="1"/>
  <c r="D14" i="1"/>
  <c r="B13" i="1"/>
  <c r="B17" i="1"/>
  <c r="C13" i="1"/>
  <c r="C17" i="1"/>
  <c r="D13" i="1"/>
  <c r="H13" i="1"/>
  <c r="E20" i="1"/>
  <c r="F19" i="1"/>
  <c r="G18" i="1"/>
  <c r="H17" i="1"/>
  <c r="D17" i="1"/>
  <c r="E16" i="1"/>
  <c r="F15" i="1"/>
  <c r="G14" i="1"/>
  <c r="H19" i="1"/>
  <c r="D19" i="1"/>
  <c r="H15" i="1"/>
  <c r="D15" i="1"/>
  <c r="B20" i="1"/>
  <c r="B16" i="1"/>
  <c r="C20" i="1"/>
  <c r="E13" i="1"/>
  <c r="H20" i="1"/>
  <c r="D20" i="1"/>
  <c r="E19" i="1"/>
  <c r="F18" i="1"/>
  <c r="I13" i="1" l="1"/>
  <c r="I15" i="1"/>
  <c r="I19" i="1"/>
  <c r="J8" i="1"/>
  <c r="I16" i="1"/>
  <c r="J7" i="1"/>
  <c r="I20" i="1"/>
  <c r="I14" i="1"/>
  <c r="J6" i="1"/>
  <c r="J3" i="1"/>
  <c r="I17" i="1"/>
  <c r="I18" i="1"/>
  <c r="J5" i="1"/>
  <c r="J4" i="1"/>
  <c r="J13" i="1" l="1" a="1"/>
  <c r="J16" i="1" l="1"/>
  <c r="K16" i="1" s="1"/>
  <c r="J19" i="1"/>
  <c r="K19" i="1" s="1"/>
  <c r="J17" i="1"/>
  <c r="K17" i="1" s="1"/>
  <c r="J20" i="1"/>
  <c r="K20" i="1" s="1"/>
  <c r="J14" i="1"/>
  <c r="K14" i="1" s="1"/>
  <c r="J15" i="1"/>
  <c r="K15" i="1" s="1"/>
  <c r="J13" i="1"/>
  <c r="K13" i="1" s="1"/>
  <c r="L13" i="1" s="1"/>
  <c r="M13" i="1" s="1"/>
  <c r="J18" i="1"/>
  <c r="K18" i="1" s="1"/>
  <c r="N13" i="1" l="1"/>
</calcChain>
</file>

<file path=xl/sharedStrings.xml><?xml version="1.0" encoding="utf-8"?>
<sst xmlns="http://schemas.openxmlformats.org/spreadsheetml/2006/main" count="114" uniqueCount="42">
  <si>
    <t>SIR</t>
  </si>
  <si>
    <t>TL</t>
  </si>
  <si>
    <t>SSL</t>
  </si>
  <si>
    <t>FL</t>
  </si>
  <si>
    <t>LULC</t>
  </si>
  <si>
    <t>ELE</t>
  </si>
  <si>
    <t>Slope</t>
  </si>
  <si>
    <t>Road Network</t>
  </si>
  <si>
    <t>Vp</t>
  </si>
  <si>
    <t>Cp</t>
  </si>
  <si>
    <t>Road Net</t>
  </si>
  <si>
    <t xml:space="preserve">Total </t>
  </si>
  <si>
    <t>C</t>
  </si>
  <si>
    <t>D</t>
  </si>
  <si>
    <t>Lamda</t>
  </si>
  <si>
    <t>CI</t>
  </si>
  <si>
    <t>Solar irradiance</t>
  </si>
  <si>
    <t>Transformer loading</t>
  </si>
  <si>
    <t>SS line</t>
  </si>
  <si>
    <t>Feeder line</t>
  </si>
  <si>
    <t>Elevation</t>
  </si>
  <si>
    <t>Road network</t>
  </si>
  <si>
    <t>RN</t>
  </si>
  <si>
    <t xml:space="preserve">Saaty Preference </t>
  </si>
  <si>
    <t xml:space="preserve">Equal Importance </t>
  </si>
  <si>
    <t>Moderate importance for one over another</t>
  </si>
  <si>
    <t xml:space="preserve">Essential or Strong Importance </t>
  </si>
  <si>
    <t xml:space="preserve">Very strong importance </t>
  </si>
  <si>
    <t>Extreme Importance</t>
  </si>
  <si>
    <t>2,4,6,8</t>
  </si>
  <si>
    <t>Intermediate values</t>
  </si>
  <si>
    <t>CR VALUE SHOULD BE &lt;0.1</t>
  </si>
  <si>
    <t>CR= Consistency
Ratio</t>
  </si>
  <si>
    <t>E = (D/C)</t>
  </si>
  <si>
    <t>CR = (CI/RI)</t>
  </si>
  <si>
    <t>RI= Random Index</t>
  </si>
  <si>
    <t>n= number of parameter</t>
  </si>
  <si>
    <t>Size of Matrix (n)</t>
  </si>
  <si>
    <t>Random Index (RI)</t>
  </si>
  <si>
    <t>Total</t>
  </si>
  <si>
    <t>Road_Net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</si>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</sst>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sz val="11"/>
      <color rgb="FF000000"/>
      <name val="Arial Black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F5F5F5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2" fontId="0" fillId="0" borderId="1" xfId="0" applyNumberFormat="1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3" xfId="0" applyFon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vertical="center"/>
    </xf>
    <xf numFmtId="2" fontId="6" fillId="0" borderId="2" xfId="0" applyNumberFormat="1" applyFont="1" applyBorder="1" applyAlignment="1">
      <alignment vertical="center"/>
    </xf>
    <xf numFmtId="0" fontId="1" fillId="0" borderId="0" xfId="0" applyFont="1"/>
    <xf numFmtId="0" fontId="0" fillId="0" borderId="0" xfId="0" applyAlignment="1">
      <alignment wrapText="1"/>
    </xf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zoomScale="90" zoomScaleNormal="90" workbookViewId="0">
      <selection activeCell="M3" sqref="M3:N9"/>
    </sheetView>
  </sheetViews>
  <sheetFormatPr defaultRowHeight="14.5" x14ac:dyDescent="0.35"/>
  <cols>
    <col min="8" max="8" width="8.08984375" customWidth="1"/>
    <col min="14" max="14" width="12" customWidth="1"/>
    <col min="16" max="16" width="15.81640625" customWidth="1"/>
  </cols>
  <sheetData>
    <row r="1" spans="1:17" x14ac:dyDescent="0.35">
      <c r="A1" s="1"/>
      <c r="B1" s="9" t="s">
        <v>0</v>
      </c>
      <c r="C1" s="9" t="s">
        <v>1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7" x14ac:dyDescent="0.35">
      <c r="A2" s="9" t="s">
        <v>0</v>
      </c>
      <c r="B2" s="8">
        <v>1</v>
      </c>
      <c r="C2" s="2">
        <v>1</v>
      </c>
      <c r="D2" s="2">
        <v>1</v>
      </c>
      <c r="E2" s="2">
        <v>7</v>
      </c>
      <c r="F2" s="2">
        <v>5</v>
      </c>
      <c r="G2" s="2">
        <v>5</v>
      </c>
      <c r="H2" s="2">
        <v>3</v>
      </c>
      <c r="I2" s="2">
        <f>(B2*C2*D2*E2*F2*G2*H2)^(1/7)</f>
        <v>2.4467758550574827</v>
      </c>
      <c r="J2" s="3">
        <f t="shared" ref="J2:J8" si="0">I2/$I$9</f>
        <v>0.25515738431055673</v>
      </c>
    </row>
    <row r="3" spans="1:17" x14ac:dyDescent="0.35">
      <c r="A3" s="9" t="s">
        <v>1</v>
      </c>
      <c r="B3" s="2">
        <f>1/C2</f>
        <v>1</v>
      </c>
      <c r="C3" s="8">
        <v>1</v>
      </c>
      <c r="D3" s="2">
        <v>1</v>
      </c>
      <c r="E3" s="2">
        <v>7</v>
      </c>
      <c r="F3" s="2">
        <v>5</v>
      </c>
      <c r="G3" s="2">
        <v>5</v>
      </c>
      <c r="H3" s="2">
        <v>3</v>
      </c>
      <c r="I3" s="2">
        <f t="shared" ref="I3:I8" si="1">(B3*C3*D3*E3*F3*G3*H3)^(1/7)</f>
        <v>2.4467758550574827</v>
      </c>
      <c r="J3" s="3">
        <f t="shared" si="0"/>
        <v>0.25515738431055673</v>
      </c>
      <c r="M3" t="s">
        <v>23</v>
      </c>
    </row>
    <row r="4" spans="1:17" x14ac:dyDescent="0.35">
      <c r="A4" s="9" t="s">
        <v>3</v>
      </c>
      <c r="B4" s="2">
        <f>1/D2</f>
        <v>1</v>
      </c>
      <c r="C4" s="2">
        <f>1/D3</f>
        <v>1</v>
      </c>
      <c r="D4" s="8">
        <v>1</v>
      </c>
      <c r="E4" s="2">
        <v>7</v>
      </c>
      <c r="F4" s="2">
        <v>5</v>
      </c>
      <c r="G4" s="2">
        <v>5</v>
      </c>
      <c r="H4" s="2">
        <v>5</v>
      </c>
      <c r="I4" s="2">
        <f t="shared" si="1"/>
        <v>2.6320059378423584</v>
      </c>
      <c r="J4" s="3">
        <f t="shared" si="0"/>
        <v>0.27447375255136824</v>
      </c>
      <c r="M4">
        <v>1</v>
      </c>
      <c r="N4" t="s">
        <v>24</v>
      </c>
    </row>
    <row r="5" spans="1:17" x14ac:dyDescent="0.35">
      <c r="A5" s="9" t="s">
        <v>4</v>
      </c>
      <c r="B5" s="2">
        <f>1/E2</f>
        <v>0.14285714285714285</v>
      </c>
      <c r="C5" s="2">
        <f>1/E3</f>
        <v>0.14285714285714285</v>
      </c>
      <c r="D5" s="2">
        <f>1/E4</f>
        <v>0.14285714285714285</v>
      </c>
      <c r="E5" s="8">
        <v>1</v>
      </c>
      <c r="F5" s="2">
        <v>3</v>
      </c>
      <c r="G5" s="2">
        <v>2</v>
      </c>
      <c r="H5" s="2">
        <v>3</v>
      </c>
      <c r="I5" s="2">
        <f t="shared" si="1"/>
        <v>0.65635646797286629</v>
      </c>
      <c r="J5" s="3">
        <f t="shared" si="0"/>
        <v>6.8446890710116864E-2</v>
      </c>
      <c r="M5">
        <v>3</v>
      </c>
      <c r="N5" t="s">
        <v>25</v>
      </c>
    </row>
    <row r="6" spans="1:17" x14ac:dyDescent="0.35">
      <c r="A6" s="9" t="s">
        <v>5</v>
      </c>
      <c r="B6" s="2">
        <f>1/F2</f>
        <v>0.2</v>
      </c>
      <c r="C6" s="2">
        <f>1/F3</f>
        <v>0.2</v>
      </c>
      <c r="D6" s="2">
        <f>1/F4</f>
        <v>0.2</v>
      </c>
      <c r="E6" s="2">
        <f>1/F5</f>
        <v>0.33333333333333331</v>
      </c>
      <c r="F6" s="8">
        <v>1</v>
      </c>
      <c r="G6" s="2">
        <v>2</v>
      </c>
      <c r="H6" s="2">
        <v>5</v>
      </c>
      <c r="I6" s="2">
        <f t="shared" si="1"/>
        <v>0.59585198479164836</v>
      </c>
      <c r="J6" s="3">
        <f t="shared" si="0"/>
        <v>6.2137295315152115E-2</v>
      </c>
      <c r="M6">
        <v>5</v>
      </c>
      <c r="N6" t="s">
        <v>26</v>
      </c>
    </row>
    <row r="7" spans="1:17" x14ac:dyDescent="0.35">
      <c r="A7" s="9" t="s">
        <v>6</v>
      </c>
      <c r="B7" s="2">
        <f>1/G2</f>
        <v>0.2</v>
      </c>
      <c r="C7" s="2">
        <f>1/G3</f>
        <v>0.2</v>
      </c>
      <c r="D7" s="2">
        <f>1/G4</f>
        <v>0.2</v>
      </c>
      <c r="E7" s="2">
        <f>1/G5</f>
        <v>0.5</v>
      </c>
      <c r="F7" s="2">
        <f>1/G6</f>
        <v>0.5</v>
      </c>
      <c r="G7" s="8">
        <v>1</v>
      </c>
      <c r="H7" s="2">
        <v>2</v>
      </c>
      <c r="I7" s="2">
        <f t="shared" si="1"/>
        <v>0.45439876423907716</v>
      </c>
      <c r="J7" s="3">
        <f t="shared" si="0"/>
        <v>4.7386114211294759E-2</v>
      </c>
      <c r="M7">
        <v>7</v>
      </c>
      <c r="N7" t="s">
        <v>27</v>
      </c>
    </row>
    <row r="8" spans="1:17" x14ac:dyDescent="0.35">
      <c r="A8" s="9" t="s">
        <v>10</v>
      </c>
      <c r="B8" s="2">
        <f>1/H2</f>
        <v>0.33333333333333331</v>
      </c>
      <c r="C8" s="2">
        <f>1/H3</f>
        <v>0.33333333333333331</v>
      </c>
      <c r="D8" s="2">
        <f>1/H4</f>
        <v>0.2</v>
      </c>
      <c r="E8" s="2">
        <f>1/H5</f>
        <v>0.33333333333333331</v>
      </c>
      <c r="F8" s="2">
        <f>1/H6</f>
        <v>0.2</v>
      </c>
      <c r="G8" s="2">
        <f>1/H7</f>
        <v>0.5</v>
      </c>
      <c r="H8" s="8">
        <v>1</v>
      </c>
      <c r="I8" s="2">
        <f t="shared" si="1"/>
        <v>0.35711612594102349</v>
      </c>
      <c r="J8" s="3">
        <f t="shared" si="0"/>
        <v>3.7241178590954417E-2</v>
      </c>
      <c r="M8">
        <v>9</v>
      </c>
      <c r="N8" t="s">
        <v>28</v>
      </c>
    </row>
    <row r="9" spans="1:17" x14ac:dyDescent="0.35">
      <c r="A9" s="9" t="s">
        <v>11</v>
      </c>
      <c r="B9" s="3">
        <f t="shared" ref="B9:I9" si="2">SUM(B2:B8)</f>
        <v>3.8761904761904766</v>
      </c>
      <c r="C9" s="3">
        <f t="shared" si="2"/>
        <v>3.8761904761904766</v>
      </c>
      <c r="D9" s="3">
        <f t="shared" si="2"/>
        <v>3.7428571428571433</v>
      </c>
      <c r="E9" s="3">
        <f t="shared" si="2"/>
        <v>23.166666666666664</v>
      </c>
      <c r="F9" s="3">
        <f t="shared" si="2"/>
        <v>19.7</v>
      </c>
      <c r="G9" s="3">
        <f t="shared" si="2"/>
        <v>20.5</v>
      </c>
      <c r="H9" s="3">
        <f t="shared" si="2"/>
        <v>22</v>
      </c>
      <c r="I9" s="3">
        <f t="shared" si="2"/>
        <v>9.5892809909019405</v>
      </c>
      <c r="J9" s="4"/>
      <c r="M9" t="s">
        <v>29</v>
      </c>
      <c r="N9" t="s">
        <v>30</v>
      </c>
    </row>
    <row r="12" spans="1:17" ht="17" x14ac:dyDescent="0.5">
      <c r="A12" s="1"/>
      <c r="B12" s="9" t="s">
        <v>0</v>
      </c>
      <c r="C12" s="9" t="s">
        <v>1</v>
      </c>
      <c r="D12" s="9" t="s">
        <v>3</v>
      </c>
      <c r="E12" s="9" t="s">
        <v>4</v>
      </c>
      <c r="F12" s="9" t="s">
        <v>5</v>
      </c>
      <c r="G12" s="9" t="s">
        <v>6</v>
      </c>
      <c r="H12" s="9" t="s">
        <v>7</v>
      </c>
      <c r="I12" s="10" t="s">
        <v>12</v>
      </c>
      <c r="J12" s="10" t="s">
        <v>13</v>
      </c>
      <c r="K12" s="10" t="s">
        <v>33</v>
      </c>
      <c r="L12" s="10" t="s">
        <v>14</v>
      </c>
      <c r="M12" s="10" t="s">
        <v>15</v>
      </c>
      <c r="N12" s="10" t="s">
        <v>34</v>
      </c>
      <c r="P12" t="s">
        <v>16</v>
      </c>
      <c r="Q12" s="5" t="s">
        <v>0</v>
      </c>
    </row>
    <row r="13" spans="1:17" ht="17" x14ac:dyDescent="0.5">
      <c r="A13" s="9" t="s">
        <v>0</v>
      </c>
      <c r="B13">
        <f>B2/$B$9</f>
        <v>0.25798525798525795</v>
      </c>
      <c r="C13">
        <f>C2/$C$9</f>
        <v>0.25798525798525795</v>
      </c>
      <c r="D13">
        <f>D2/$D$9</f>
        <v>0.26717557251908391</v>
      </c>
      <c r="E13">
        <f>E2/$E$9</f>
        <v>0.30215827338129497</v>
      </c>
      <c r="F13">
        <f>F2/$F$9</f>
        <v>0.25380710659898476</v>
      </c>
      <c r="G13">
        <f>G2/$G$9</f>
        <v>0.24390243902439024</v>
      </c>
      <c r="H13">
        <f>H2/$H$9</f>
        <v>0.13636363636363635</v>
      </c>
      <c r="I13">
        <f t="shared" ref="I13:I20" si="3">AVERAGE(B13:H13)</f>
        <v>0.24562536340827235</v>
      </c>
      <c r="J13" t="e">
        <f t="array" ref="J13:J20">MMULT(B2:H8,I13:I20)</f>
        <v>#REF!</v>
      </c>
      <c r="K13" t="e">
        <f>J13/I13</f>
        <v>#REF!</v>
      </c>
      <c r="L13" t="e">
        <f>SUM(K13:K20)/7</f>
        <v>#REF!</v>
      </c>
      <c r="M13" t="e">
        <f>(L13-7)/(7-1)</f>
        <v>#REF!</v>
      </c>
      <c r="N13" t="e">
        <f>M13/1.41</f>
        <v>#REF!</v>
      </c>
      <c r="P13" t="s">
        <v>17</v>
      </c>
      <c r="Q13" s="6" t="s">
        <v>1</v>
      </c>
    </row>
    <row r="14" spans="1:17" ht="17.5" thickBot="1" x14ac:dyDescent="0.4">
      <c r="A14" s="9" t="s">
        <v>1</v>
      </c>
      <c r="B14">
        <f>B3/$B$9</f>
        <v>0.25798525798525795</v>
      </c>
      <c r="C14">
        <f>C3/$C$9</f>
        <v>0.25798525798525795</v>
      </c>
      <c r="D14">
        <f>D3/$D$9</f>
        <v>0.26717557251908391</v>
      </c>
      <c r="E14">
        <f>E3/$E$9</f>
        <v>0.30215827338129497</v>
      </c>
      <c r="F14">
        <f>F3/$F$9</f>
        <v>0.25380710659898476</v>
      </c>
      <c r="G14">
        <f>G3/$G$9</f>
        <v>0.24390243902439024</v>
      </c>
      <c r="H14">
        <f>H3/$H$9</f>
        <v>0.13636363636363635</v>
      </c>
      <c r="I14">
        <f t="shared" si="3"/>
        <v>0.24562536340827235</v>
      </c>
      <c r="J14" t="e">
        <v>#REF!</v>
      </c>
      <c r="K14" t="e">
        <f t="shared" ref="K14:K20" si="4">J14/I14</f>
        <v>#REF!</v>
      </c>
      <c r="P14" t="s">
        <v>18</v>
      </c>
      <c r="Q14" s="7" t="s">
        <v>2</v>
      </c>
    </row>
    <row r="15" spans="1:17" ht="17.5" thickBot="1" x14ac:dyDescent="0.4">
      <c r="A15" s="9" t="s">
        <v>2</v>
      </c>
      <c r="B15" t="e">
        <f>#REF!/$B$9</f>
        <v>#REF!</v>
      </c>
      <c r="C15" t="e">
        <f>#REF!/$C$9</f>
        <v>#REF!</v>
      </c>
      <c r="D15" t="e">
        <f>#REF!/$D$9</f>
        <v>#REF!</v>
      </c>
      <c r="E15" t="e">
        <f>#REF!/$E$9</f>
        <v>#REF!</v>
      </c>
      <c r="F15" t="e">
        <f>#REF!/$F$9</f>
        <v>#REF!</v>
      </c>
      <c r="G15" t="e">
        <f>#REF!/$G$9</f>
        <v>#REF!</v>
      </c>
      <c r="H15" t="e">
        <f>#REF!/$H$9</f>
        <v>#REF!</v>
      </c>
      <c r="I15" t="e">
        <f t="shared" si="3"/>
        <v>#REF!</v>
      </c>
      <c r="J15" t="e">
        <v>#REF!</v>
      </c>
      <c r="K15" t="e">
        <f t="shared" si="4"/>
        <v>#REF!</v>
      </c>
      <c r="P15" t="s">
        <v>19</v>
      </c>
      <c r="Q15" s="7" t="s">
        <v>3</v>
      </c>
    </row>
    <row r="16" spans="1:17" ht="17.5" thickBot="1" x14ac:dyDescent="0.4">
      <c r="A16" s="9" t="s">
        <v>3</v>
      </c>
      <c r="B16">
        <f>B4/$B$9</f>
        <v>0.25798525798525795</v>
      </c>
      <c r="C16">
        <f>C4/$C$9</f>
        <v>0.25798525798525795</v>
      </c>
      <c r="D16">
        <f>D4/$D$9</f>
        <v>0.26717557251908391</v>
      </c>
      <c r="E16">
        <f>E4/$E$9</f>
        <v>0.30215827338129497</v>
      </c>
      <c r="F16">
        <f>F4/$F$9</f>
        <v>0.25380710659898476</v>
      </c>
      <c r="G16">
        <f>G4/$G$9</f>
        <v>0.24390243902439024</v>
      </c>
      <c r="H16">
        <f>H4/$H$9</f>
        <v>0.22727272727272727</v>
      </c>
      <c r="I16">
        <f t="shared" si="3"/>
        <v>0.25861237639528534</v>
      </c>
      <c r="J16" t="e">
        <v>#REF!</v>
      </c>
      <c r="K16" t="e">
        <f t="shared" si="4"/>
        <v>#REF!</v>
      </c>
      <c r="P16" t="s">
        <v>4</v>
      </c>
      <c r="Q16" s="7" t="s">
        <v>4</v>
      </c>
    </row>
    <row r="17" spans="1:26" ht="17.5" thickBot="1" x14ac:dyDescent="0.4">
      <c r="A17" s="9" t="s">
        <v>4</v>
      </c>
      <c r="B17">
        <f>B5/$B$9</f>
        <v>3.6855036855036848E-2</v>
      </c>
      <c r="C17">
        <f>C5/$C$9</f>
        <v>3.6855036855036848E-2</v>
      </c>
      <c r="D17">
        <f>D5/$D$9</f>
        <v>3.8167938931297704E-2</v>
      </c>
      <c r="E17">
        <f>E5/$E$9</f>
        <v>4.3165467625899283E-2</v>
      </c>
      <c r="F17">
        <f>F5/$F$9</f>
        <v>0.15228426395939088</v>
      </c>
      <c r="G17">
        <f>G5/$G$9</f>
        <v>9.7560975609756101E-2</v>
      </c>
      <c r="H17">
        <f>H5/$H$9</f>
        <v>0.13636363636363635</v>
      </c>
      <c r="I17">
        <f t="shared" si="3"/>
        <v>7.7321765171436282E-2</v>
      </c>
      <c r="J17" t="e">
        <v>#REF!</v>
      </c>
      <c r="K17" t="e">
        <f t="shared" si="4"/>
        <v>#REF!</v>
      </c>
      <c r="P17" t="s">
        <v>20</v>
      </c>
      <c r="Q17" s="7" t="s">
        <v>20</v>
      </c>
    </row>
    <row r="18" spans="1:26" ht="17.5" thickBot="1" x14ac:dyDescent="0.4">
      <c r="A18" s="9" t="s">
        <v>5</v>
      </c>
      <c r="B18">
        <f>B6/$B$9</f>
        <v>5.1597051597051594E-2</v>
      </c>
      <c r="C18">
        <f>C6/$C$9</f>
        <v>5.1597051597051594E-2</v>
      </c>
      <c r="D18">
        <f>D6/$D$9</f>
        <v>5.3435114503816793E-2</v>
      </c>
      <c r="E18">
        <f>E6/$E$9</f>
        <v>1.4388489208633094E-2</v>
      </c>
      <c r="F18">
        <f>F6/$F$9</f>
        <v>5.0761421319796954E-2</v>
      </c>
      <c r="G18">
        <f>G6/$G$9</f>
        <v>9.7560975609756101E-2</v>
      </c>
      <c r="H18">
        <f>H6/$H$9</f>
        <v>0.22727272727272727</v>
      </c>
      <c r="I18">
        <f t="shared" si="3"/>
        <v>7.8087547301261911E-2</v>
      </c>
      <c r="J18" t="e">
        <v>#REF!</v>
      </c>
      <c r="K18" t="e">
        <f t="shared" si="4"/>
        <v>#REF!</v>
      </c>
      <c r="P18" t="s">
        <v>6</v>
      </c>
      <c r="Q18" s="7" t="s">
        <v>6</v>
      </c>
    </row>
    <row r="19" spans="1:26" ht="17.5" thickBot="1" x14ac:dyDescent="0.4">
      <c r="A19" s="9" t="s">
        <v>6</v>
      </c>
      <c r="B19">
        <f>B7/$B$9</f>
        <v>5.1597051597051594E-2</v>
      </c>
      <c r="C19">
        <f>C7/$C$9</f>
        <v>5.1597051597051594E-2</v>
      </c>
      <c r="D19">
        <f>D7/$D$9</f>
        <v>5.3435114503816793E-2</v>
      </c>
      <c r="E19">
        <f>E7/$E$9</f>
        <v>2.1582733812949641E-2</v>
      </c>
      <c r="F19">
        <f>F7/$F$9</f>
        <v>2.5380710659898477E-2</v>
      </c>
      <c r="G19">
        <f>G7/$G$9</f>
        <v>4.878048780487805E-2</v>
      </c>
      <c r="H19">
        <f>H7/$H$9</f>
        <v>9.0909090909090912E-2</v>
      </c>
      <c r="I19">
        <f t="shared" si="3"/>
        <v>4.9040320126391E-2</v>
      </c>
      <c r="J19" t="e">
        <v>#REF!</v>
      </c>
      <c r="K19" t="e">
        <f t="shared" si="4"/>
        <v>#REF!</v>
      </c>
      <c r="P19" t="s">
        <v>21</v>
      </c>
      <c r="Q19" s="7" t="s">
        <v>22</v>
      </c>
    </row>
    <row r="20" spans="1:26" x14ac:dyDescent="0.35">
      <c r="A20" s="9" t="s">
        <v>10</v>
      </c>
      <c r="B20">
        <f>B8/$B$9</f>
        <v>8.5995085995085985E-2</v>
      </c>
      <c r="C20">
        <f>C8/$C$9</f>
        <v>8.5995085995085985E-2</v>
      </c>
      <c r="D20">
        <f>D8/$D$9</f>
        <v>5.3435114503816793E-2</v>
      </c>
      <c r="E20">
        <f>E8/$E$9</f>
        <v>1.4388489208633094E-2</v>
      </c>
      <c r="F20">
        <f>F8/$F$9</f>
        <v>1.0152284263959392E-2</v>
      </c>
      <c r="G20">
        <f>G8/$G$9</f>
        <v>2.4390243902439025E-2</v>
      </c>
      <c r="H20">
        <f>H8/$H$9</f>
        <v>4.5454545454545456E-2</v>
      </c>
      <c r="I20">
        <f t="shared" si="3"/>
        <v>4.5687264189080819E-2</v>
      </c>
      <c r="J20" t="e">
        <v>#REF!</v>
      </c>
      <c r="K20" t="e">
        <f t="shared" si="4"/>
        <v>#REF!</v>
      </c>
    </row>
    <row r="21" spans="1:26" x14ac:dyDescent="0.35">
      <c r="P21" s="11" t="s">
        <v>31</v>
      </c>
    </row>
    <row r="22" spans="1:26" ht="29" x14ac:dyDescent="0.35">
      <c r="P22" s="12" t="s">
        <v>32</v>
      </c>
    </row>
    <row r="23" spans="1:26" x14ac:dyDescent="0.35">
      <c r="P23" t="s">
        <v>35</v>
      </c>
    </row>
    <row r="24" spans="1:26" x14ac:dyDescent="0.35">
      <c r="P24" t="s">
        <v>36</v>
      </c>
    </row>
    <row r="26" spans="1:26" x14ac:dyDescent="0.35">
      <c r="P26" s="11" t="s">
        <v>37</v>
      </c>
      <c r="Q26">
        <v>1</v>
      </c>
      <c r="R26">
        <v>2</v>
      </c>
      <c r="S26">
        <v>3</v>
      </c>
      <c r="T26">
        <v>4</v>
      </c>
      <c r="U26">
        <v>5</v>
      </c>
      <c r="V26">
        <v>6</v>
      </c>
      <c r="W26">
        <v>7</v>
      </c>
      <c r="X26" s="11">
        <v>8</v>
      </c>
      <c r="Y26">
        <v>9</v>
      </c>
      <c r="Z26">
        <v>10</v>
      </c>
    </row>
    <row r="27" spans="1:26" x14ac:dyDescent="0.35">
      <c r="P27" s="11" t="s">
        <v>38</v>
      </c>
      <c r="Q27">
        <v>0</v>
      </c>
      <c r="R27">
        <v>0</v>
      </c>
      <c r="S27">
        <v>0.57999999999999996</v>
      </c>
      <c r="T27">
        <v>0.9</v>
      </c>
      <c r="U27">
        <v>1.1200000000000001</v>
      </c>
      <c r="V27">
        <v>1.24</v>
      </c>
      <c r="W27">
        <v>1.32</v>
      </c>
      <c r="X27" s="11">
        <v>1.41</v>
      </c>
      <c r="Y27">
        <v>1.45</v>
      </c>
      <c r="Z27">
        <v>1.49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19"/>
  <sheetViews>
    <sheetView tabSelected="1" workbookViewId="0">
      <selection activeCell="M7" sqref="M7"/>
    </sheetView>
  </sheetViews>
  <sheetFormatPr defaultRowHeight="14.5" x14ac:dyDescent="0.35"/>
  <cols>
    <col min="8" max="8" width="9.08984375" customWidth="1"/>
    <col min="10" max="10" width="11.81640625" bestFit="1" customWidth="1"/>
  </cols>
  <sheetData>
    <row r="2" spans="1:17" x14ac:dyDescent="0.35">
      <c r="A2" s="1"/>
      <c r="B2" s="9" t="s">
        <v>0</v>
      </c>
      <c r="C2" s="9" t="s">
        <v>1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40</v>
      </c>
      <c r="I2" s="9" t="s">
        <v>8</v>
      </c>
      <c r="J2" s="9" t="s">
        <v>9</v>
      </c>
      <c r="K2" s="10" t="s">
        <v>41</v>
      </c>
    </row>
    <row r="3" spans="1:17" x14ac:dyDescent="0.35">
      <c r="A3" s="9" t="s">
        <v>0</v>
      </c>
      <c r="B3" s="8">
        <v>1</v>
      </c>
      <c r="C3" s="2">
        <v>1</v>
      </c>
      <c r="D3" s="2">
        <v>1</v>
      </c>
      <c r="E3" s="2">
        <v>7</v>
      </c>
      <c r="F3" s="2">
        <v>5</v>
      </c>
      <c r="G3" s="2">
        <v>5</v>
      </c>
      <c r="H3" s="2">
        <v>3</v>
      </c>
      <c r="I3">
        <f>(B3*C3*D3*E3*F3*G3*H3)^(1/7)</f>
        <v>2.4467758550574827</v>
      </c>
      <c r="J3" s="15">
        <f>(I3/$I$10)</f>
        <v>0.24251426754585437</v>
      </c>
      <c r="K3" s="16">
        <f>J3</f>
        <v>0.24251426754585437</v>
      </c>
      <c r="M3" s="14"/>
      <c r="N3" s="13"/>
      <c r="P3" t="s">
        <v>23</v>
      </c>
    </row>
    <row r="4" spans="1:17" x14ac:dyDescent="0.35">
      <c r="A4" s="9" t="s">
        <v>1</v>
      </c>
      <c r="B4" s="2">
        <v>1</v>
      </c>
      <c r="C4" s="8">
        <v>1</v>
      </c>
      <c r="D4" s="2">
        <v>1</v>
      </c>
      <c r="E4" s="2">
        <v>7</v>
      </c>
      <c r="F4" s="2">
        <v>7</v>
      </c>
      <c r="G4" s="2">
        <v>5</v>
      </c>
      <c r="H4" s="2">
        <v>7</v>
      </c>
      <c r="I4">
        <f t="shared" ref="I4:I9" si="0">(B4*C4*D4*E4*F4*G4*H4)^(1/7)</f>
        <v>2.8975953235137171</v>
      </c>
      <c r="J4" s="15">
        <f t="shared" ref="J4:J9" si="1">(I4/$I$10)</f>
        <v>0.28719762215804318</v>
      </c>
      <c r="K4" s="16">
        <f t="shared" ref="K4:K9" si="2">J4</f>
        <v>0.28719762215804318</v>
      </c>
      <c r="M4" s="14"/>
      <c r="P4">
        <v>1</v>
      </c>
      <c r="Q4" t="s">
        <v>24</v>
      </c>
    </row>
    <row r="5" spans="1:17" x14ac:dyDescent="0.35">
      <c r="A5" s="9" t="s">
        <v>3</v>
      </c>
      <c r="B5" s="2">
        <v>1</v>
      </c>
      <c r="C5" s="2">
        <v>1</v>
      </c>
      <c r="D5" s="8">
        <v>1</v>
      </c>
      <c r="E5" s="2">
        <v>7</v>
      </c>
      <c r="F5" s="2">
        <v>5</v>
      </c>
      <c r="G5" s="2">
        <v>7</v>
      </c>
      <c r="H5" s="2">
        <v>5</v>
      </c>
      <c r="I5">
        <f t="shared" si="0"/>
        <v>2.7616096930870504</v>
      </c>
      <c r="J5" s="15">
        <f t="shared" si="1"/>
        <v>0.2737192908709668</v>
      </c>
      <c r="K5" s="16">
        <f t="shared" si="2"/>
        <v>0.2737192908709668</v>
      </c>
      <c r="M5" s="14"/>
      <c r="P5">
        <v>3</v>
      </c>
      <c r="Q5" t="s">
        <v>25</v>
      </c>
    </row>
    <row r="6" spans="1:17" x14ac:dyDescent="0.35">
      <c r="A6" s="9" t="s">
        <v>4</v>
      </c>
      <c r="B6" s="2">
        <v>0.14285999999999999</v>
      </c>
      <c r="C6" s="2">
        <v>0.14285999999999999</v>
      </c>
      <c r="D6" s="2">
        <v>0.14285999999999999</v>
      </c>
      <c r="E6" s="8">
        <v>1</v>
      </c>
      <c r="F6" s="2">
        <v>2</v>
      </c>
      <c r="G6" s="2">
        <v>3</v>
      </c>
      <c r="H6" s="2">
        <v>3</v>
      </c>
      <c r="I6">
        <f t="shared" si="0"/>
        <v>0.65636209385330113</v>
      </c>
      <c r="J6" s="15">
        <f t="shared" si="1"/>
        <v>6.5055886548282552E-2</v>
      </c>
      <c r="K6" s="16">
        <f t="shared" si="2"/>
        <v>6.5055886548282552E-2</v>
      </c>
      <c r="M6" s="14"/>
      <c r="P6">
        <v>5</v>
      </c>
      <c r="Q6" t="s">
        <v>26</v>
      </c>
    </row>
    <row r="7" spans="1:17" x14ac:dyDescent="0.35">
      <c r="A7" s="9" t="s">
        <v>5</v>
      </c>
      <c r="B7" s="2">
        <v>0.2</v>
      </c>
      <c r="C7" s="2">
        <v>0.14285999999999999</v>
      </c>
      <c r="D7" s="2">
        <v>0.2</v>
      </c>
      <c r="E7" s="2">
        <v>0.5</v>
      </c>
      <c r="F7" s="8">
        <v>1</v>
      </c>
      <c r="G7" s="2">
        <v>2</v>
      </c>
      <c r="H7" s="2">
        <v>5</v>
      </c>
      <c r="I7">
        <f t="shared" si="0"/>
        <v>0.60175553221777567</v>
      </c>
      <c r="J7" s="15">
        <f t="shared" si="1"/>
        <v>5.9643510800473858E-2</v>
      </c>
      <c r="K7" s="16">
        <f t="shared" si="2"/>
        <v>5.9643510800473858E-2</v>
      </c>
      <c r="M7" s="14"/>
      <c r="P7">
        <v>7</v>
      </c>
      <c r="Q7" t="s">
        <v>27</v>
      </c>
    </row>
    <row r="8" spans="1:17" x14ac:dyDescent="0.35">
      <c r="A8" s="9" t="s">
        <v>6</v>
      </c>
      <c r="B8" s="2">
        <v>0.2</v>
      </c>
      <c r="C8" s="2">
        <v>0.2</v>
      </c>
      <c r="D8" s="2">
        <v>0.14285999999999999</v>
      </c>
      <c r="E8" s="2">
        <v>0.33333000000000002</v>
      </c>
      <c r="F8" s="2">
        <v>0.5</v>
      </c>
      <c r="G8" s="8">
        <v>1</v>
      </c>
      <c r="H8" s="2">
        <v>2</v>
      </c>
      <c r="I8">
        <f t="shared" si="0"/>
        <v>0.40870169062267525</v>
      </c>
      <c r="J8" s="15">
        <f t="shared" si="1"/>
        <v>4.0508815280826733E-2</v>
      </c>
      <c r="K8" s="16">
        <f t="shared" si="2"/>
        <v>4.0508815280826733E-2</v>
      </c>
      <c r="M8" s="14"/>
      <c r="P8">
        <v>9</v>
      </c>
      <c r="Q8" t="s">
        <v>28</v>
      </c>
    </row>
    <row r="9" spans="1:17" x14ac:dyDescent="0.35">
      <c r="A9" s="9" t="s">
        <v>40</v>
      </c>
      <c r="B9" s="2">
        <v>0.33333000000000002</v>
      </c>
      <c r="C9" s="2">
        <v>0.14285999999999999</v>
      </c>
      <c r="D9" s="2">
        <v>0.2</v>
      </c>
      <c r="E9" s="2">
        <v>0.33333000000000002</v>
      </c>
      <c r="F9" s="2">
        <v>0.2</v>
      </c>
      <c r="G9" s="2">
        <v>0.5</v>
      </c>
      <c r="H9" s="8">
        <v>1</v>
      </c>
      <c r="I9">
        <f t="shared" si="0"/>
        <v>0.31640355136136633</v>
      </c>
      <c r="J9" s="15">
        <f t="shared" si="1"/>
        <v>3.1360606795552248E-2</v>
      </c>
      <c r="K9" s="16">
        <f t="shared" si="2"/>
        <v>3.1360606795552248E-2</v>
      </c>
      <c r="M9" s="14"/>
      <c r="P9" t="s">
        <v>29</v>
      </c>
      <c r="Q9" t="s">
        <v>30</v>
      </c>
    </row>
    <row r="10" spans="1:17" x14ac:dyDescent="0.35">
      <c r="A10" s="10" t="s">
        <v>39</v>
      </c>
      <c r="B10" s="13">
        <f>SUM(B3:B9)</f>
        <v>3.8761900000000002</v>
      </c>
      <c r="C10" s="13">
        <f t="shared" ref="C10:I10" si="3">SUM(C3:C9)</f>
        <v>3.6285799999999995</v>
      </c>
      <c r="D10" s="13">
        <f t="shared" si="3"/>
        <v>3.6857199999999999</v>
      </c>
      <c r="E10" s="13">
        <f t="shared" si="3"/>
        <v>23.16666</v>
      </c>
      <c r="F10" s="13">
        <f t="shared" si="3"/>
        <v>20.7</v>
      </c>
      <c r="G10" s="13">
        <f t="shared" si="3"/>
        <v>23.5</v>
      </c>
      <c r="H10" s="13">
        <f t="shared" si="3"/>
        <v>26</v>
      </c>
      <c r="I10" s="13">
        <f t="shared" si="3"/>
        <v>10.089203739713371</v>
      </c>
    </row>
    <row r="12" spans="1:17" x14ac:dyDescent="0.35">
      <c r="A12" s="1"/>
      <c r="B12" s="9" t="s">
        <v>0</v>
      </c>
      <c r="C12" s="9" t="s">
        <v>1</v>
      </c>
      <c r="D12" s="9" t="s">
        <v>3</v>
      </c>
      <c r="E12" s="9" t="s">
        <v>4</v>
      </c>
      <c r="F12" s="9" t="s">
        <v>5</v>
      </c>
      <c r="G12" s="9" t="s">
        <v>6</v>
      </c>
      <c r="H12" s="9" t="s">
        <v>7</v>
      </c>
      <c r="I12" s="10" t="s">
        <v>12</v>
      </c>
      <c r="J12" s="10" t="s">
        <v>13</v>
      </c>
      <c r="K12" s="10" t="s">
        <v>33</v>
      </c>
      <c r="L12" s="10" t="s">
        <v>14</v>
      </c>
      <c r="M12" s="10" t="s">
        <v>15</v>
      </c>
      <c r="N12" s="10" t="s">
        <v>34</v>
      </c>
    </row>
    <row r="13" spans="1:17" x14ac:dyDescent="0.35">
      <c r="A13" s="9" t="s">
        <v>0</v>
      </c>
      <c r="B13">
        <f>B3/$B$10</f>
        <v>0.25798528967878248</v>
      </c>
      <c r="C13">
        <f>C3/$C$10</f>
        <v>0.27558990018133822</v>
      </c>
      <c r="D13">
        <f>D3/$D$10</f>
        <v>0.27131740881021893</v>
      </c>
      <c r="E13">
        <f>E3/$E$10</f>
        <v>0.30215836033334109</v>
      </c>
      <c r="F13">
        <f>F3/$F$10</f>
        <v>0.24154589371980678</v>
      </c>
      <c r="G13">
        <f>G3/$G$10</f>
        <v>0.21276595744680851</v>
      </c>
      <c r="H13">
        <f>H3/$H$10</f>
        <v>0.11538461538461539</v>
      </c>
      <c r="I13">
        <f>AVERAGE(B13:H13)</f>
        <v>0.23953534650784447</v>
      </c>
      <c r="J13">
        <f t="array" ref="J13:J19">MMULT(B3:H9,I13:I19)</f>
        <v>1.9568359078009152</v>
      </c>
      <c r="K13">
        <f>J13/I13</f>
        <v>8.1692991716228036</v>
      </c>
      <c r="L13">
        <f>SUM(K13:K19)/7</f>
        <v>7.7476991854420243</v>
      </c>
      <c r="M13">
        <f>(L13-7)/(7-1)</f>
        <v>0.12461653090700404</v>
      </c>
      <c r="N13">
        <f>M13/1.32</f>
        <v>9.4406462808336394E-2</v>
      </c>
    </row>
    <row r="14" spans="1:17" x14ac:dyDescent="0.35">
      <c r="A14" s="9" t="s">
        <v>1</v>
      </c>
      <c r="B14">
        <f t="shared" ref="B14:B19" si="4">B4/$B$10</f>
        <v>0.25798528967878248</v>
      </c>
      <c r="C14">
        <f t="shared" ref="C14:C19" si="5">C4/$C$10</f>
        <v>0.27558990018133822</v>
      </c>
      <c r="D14">
        <f t="shared" ref="D14:D19" si="6">D4/$D$10</f>
        <v>0.27131740881021893</v>
      </c>
      <c r="E14">
        <f t="shared" ref="E14:E19" si="7">E4/$E$10</f>
        <v>0.30215836033334109</v>
      </c>
      <c r="F14">
        <f t="shared" ref="F14:F19" si="8">F4/$F$10</f>
        <v>0.33816425120772947</v>
      </c>
      <c r="G14">
        <f t="shared" ref="G14:G19" si="9">G4/$G$10</f>
        <v>0.21276595744680851</v>
      </c>
      <c r="H14">
        <f t="shared" ref="H14:H19" si="10">H4/$H$10</f>
        <v>0.26923076923076922</v>
      </c>
      <c r="I14">
        <f t="shared" ref="I14:I19" si="11">AVERAGE(B14:H14)</f>
        <v>0.27531599098414111</v>
      </c>
      <c r="J14">
        <v>2.248084744587092</v>
      </c>
      <c r="K14">
        <f t="shared" ref="K14:K19" si="12">J14/I14</f>
        <v>8.1654710158720398</v>
      </c>
    </row>
    <row r="15" spans="1:17" x14ac:dyDescent="0.35">
      <c r="A15" s="9" t="s">
        <v>3</v>
      </c>
      <c r="B15">
        <f t="shared" si="4"/>
        <v>0.25798528967878248</v>
      </c>
      <c r="C15">
        <f t="shared" si="5"/>
        <v>0.27558990018133822</v>
      </c>
      <c r="D15">
        <f t="shared" si="6"/>
        <v>0.27131740881021893</v>
      </c>
      <c r="E15">
        <f t="shared" si="7"/>
        <v>0.30215836033334109</v>
      </c>
      <c r="F15">
        <f t="shared" si="8"/>
        <v>0.24154589371980678</v>
      </c>
      <c r="G15">
        <f t="shared" si="9"/>
        <v>0.2978723404255319</v>
      </c>
      <c r="H15">
        <f t="shared" si="10"/>
        <v>0.19230769230769232</v>
      </c>
      <c r="I15">
        <f t="shared" si="11"/>
        <v>0.26268241220810162</v>
      </c>
      <c r="J15">
        <v>2.1188106109932603</v>
      </c>
      <c r="K15">
        <f t="shared" si="12"/>
        <v>8.0660543398493747</v>
      </c>
    </row>
    <row r="16" spans="1:17" x14ac:dyDescent="0.35">
      <c r="A16" s="9" t="s">
        <v>4</v>
      </c>
      <c r="B16">
        <f t="shared" si="4"/>
        <v>3.6855778483510862E-2</v>
      </c>
      <c r="C16">
        <f t="shared" si="5"/>
        <v>3.9370773139905973E-2</v>
      </c>
      <c r="D16">
        <f t="shared" si="6"/>
        <v>3.876040502262787E-2</v>
      </c>
      <c r="E16">
        <f t="shared" si="7"/>
        <v>4.3165480047620157E-2</v>
      </c>
      <c r="F16">
        <f t="shared" si="8"/>
        <v>9.6618357487922704E-2</v>
      </c>
      <c r="G16">
        <f t="shared" si="9"/>
        <v>0.1276595744680851</v>
      </c>
      <c r="H16">
        <f t="shared" si="10"/>
        <v>0.11538461538461539</v>
      </c>
      <c r="I16">
        <f t="shared" si="11"/>
        <v>7.1116426290612572E-2</v>
      </c>
      <c r="J16">
        <v>0.56588189738753991</v>
      </c>
      <c r="K16">
        <f t="shared" si="12"/>
        <v>7.9571194294142531</v>
      </c>
    </row>
    <row r="17" spans="1:11" x14ac:dyDescent="0.35">
      <c r="A17" s="9" t="s">
        <v>5</v>
      </c>
      <c r="B17">
        <f t="shared" si="4"/>
        <v>5.1597057935756502E-2</v>
      </c>
      <c r="C17">
        <f t="shared" si="5"/>
        <v>3.9370773139905973E-2</v>
      </c>
      <c r="D17">
        <f t="shared" si="6"/>
        <v>5.4263481762043785E-2</v>
      </c>
      <c r="E17">
        <f t="shared" si="7"/>
        <v>2.1582740023810078E-2</v>
      </c>
      <c r="F17">
        <f t="shared" si="8"/>
        <v>4.8309178743961352E-2</v>
      </c>
      <c r="G17">
        <f t="shared" si="9"/>
        <v>8.5106382978723402E-2</v>
      </c>
      <c r="H17">
        <f t="shared" si="10"/>
        <v>0.19230769230769232</v>
      </c>
      <c r="I17">
        <f t="shared" si="11"/>
        <v>7.0362472413127639E-2</v>
      </c>
      <c r="J17">
        <v>0.52056350193590395</v>
      </c>
      <c r="K17">
        <f t="shared" si="12"/>
        <v>7.3983116863696452</v>
      </c>
    </row>
    <row r="18" spans="1:11" x14ac:dyDescent="0.35">
      <c r="A18" s="9" t="s">
        <v>6</v>
      </c>
      <c r="B18">
        <f t="shared" si="4"/>
        <v>5.1597057935756502E-2</v>
      </c>
      <c r="C18">
        <f t="shared" si="5"/>
        <v>5.5117980036267639E-2</v>
      </c>
      <c r="D18">
        <f t="shared" si="6"/>
        <v>3.876040502262787E-2</v>
      </c>
      <c r="E18">
        <f t="shared" si="7"/>
        <v>1.4388349464273227E-2</v>
      </c>
      <c r="F18">
        <f t="shared" si="8"/>
        <v>2.4154589371980676E-2</v>
      </c>
      <c r="G18">
        <f t="shared" si="9"/>
        <v>4.2553191489361701E-2</v>
      </c>
      <c r="H18">
        <f t="shared" si="10"/>
        <v>7.6923076923076927E-2</v>
      </c>
      <c r="I18">
        <f t="shared" si="11"/>
        <v>4.3356378606192077E-2</v>
      </c>
      <c r="J18">
        <v>0.31800187607461322</v>
      </c>
      <c r="K18">
        <f t="shared" si="12"/>
        <v>7.334604187380096</v>
      </c>
    </row>
    <row r="19" spans="1:11" x14ac:dyDescent="0.35">
      <c r="A19" s="9" t="s">
        <v>10</v>
      </c>
      <c r="B19">
        <f t="shared" si="4"/>
        <v>8.599423660862858E-2</v>
      </c>
      <c r="C19">
        <f t="shared" si="5"/>
        <v>3.9370773139905973E-2</v>
      </c>
      <c r="D19">
        <f t="shared" si="6"/>
        <v>5.4263481762043785E-2</v>
      </c>
      <c r="E19">
        <f t="shared" si="7"/>
        <v>1.4388349464273227E-2</v>
      </c>
      <c r="F19">
        <f t="shared" si="8"/>
        <v>9.6618357487922718E-3</v>
      </c>
      <c r="G19">
        <f t="shared" si="9"/>
        <v>2.1276595744680851E-2</v>
      </c>
      <c r="H19">
        <f t="shared" si="10"/>
        <v>3.8461538461538464E-2</v>
      </c>
      <c r="I19">
        <f t="shared" si="11"/>
        <v>3.763097298998045E-2</v>
      </c>
      <c r="J19">
        <v>0.26879933711622639</v>
      </c>
      <c r="K19">
        <f t="shared" si="12"/>
        <v>7.1430344675859532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Bhartendra Kumar</cp:lastModifiedBy>
  <dcterms:created xsi:type="dcterms:W3CDTF">2025-02-06T09:45:43Z</dcterms:created>
  <dcterms:modified xsi:type="dcterms:W3CDTF">2025-06-03T05:04:57Z</dcterms:modified>
</cp:coreProperties>
</file>